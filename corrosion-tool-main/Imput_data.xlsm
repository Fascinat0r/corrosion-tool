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le_travail\Politech\Flowloop_Cor_Eroz_GAZPROM\Гидродинамическая модель трубопровода\Верификация мегомодели\"/>
    </mc:Choice>
  </mc:AlternateContent>
  <xr:revisionPtr revIDLastSave="0" documentId="13_ncr:1_{C826E395-1A21-48A5-955A-389FF811D87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2. Solve" sheetId="2" r:id="rId1"/>
  </sheets>
  <definedNames>
    <definedName name="Material">#REF!</definedName>
    <definedName name="Давление_на_выходе">#REF!</definedName>
    <definedName name="Коэффициент_J">#REF!</definedName>
    <definedName name="Коэффициент_T">#REF!</definedName>
    <definedName name="Коэффициент_местоположения_L">#REF!</definedName>
    <definedName name="расхо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2" l="1"/>
  <c r="B22" i="2"/>
  <c r="B2" i="2"/>
</calcChain>
</file>

<file path=xl/sharedStrings.xml><?xml version="1.0" encoding="utf-8"?>
<sst xmlns="http://schemas.openxmlformats.org/spreadsheetml/2006/main" count="16" uniqueCount="16">
  <si>
    <t>Диаметр трубопровода, м</t>
  </si>
  <si>
    <t>Длина участка трубопровода, м</t>
  </si>
  <si>
    <t>температура, К</t>
  </si>
  <si>
    <t>входное давление, Па</t>
  </si>
  <si>
    <t>Шероховатость, м</t>
  </si>
  <si>
    <t>Молярная масса компонента 1</t>
  </si>
  <si>
    <t>Молярная масса компонента 2</t>
  </si>
  <si>
    <t>Плотность компонента 1,кг/м3</t>
  </si>
  <si>
    <t>Вязкость компонента 1, Па*с</t>
  </si>
  <si>
    <t>Плотность компонента 2,кг/м3</t>
  </si>
  <si>
    <t>Вязкость компонента 2, Па*с</t>
  </si>
  <si>
    <t>Компонент 1</t>
  </si>
  <si>
    <t>Компонент 2</t>
  </si>
  <si>
    <t>метан</t>
  </si>
  <si>
    <t>H2O</t>
  </si>
  <si>
    <t>расход,м3/ч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</si>
</sst>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0" xfId="0" applyFill="1"/>
    <xf numFmtId="0" fontId="0" fillId="0" borderId="6" xfId="0" applyFill="1" applyBorder="1"/>
    <xf numFmtId="0" fontId="0" fillId="0" borderId="0" xfId="0" applyFill="1" applyBorder="1"/>
    <xf numFmtId="0" fontId="0" fillId="0" borderId="0" xfId="0" applyFill="1" applyBorder="1" applyAlignment="1">
      <alignment wrapText="1" shrinkToFit="1"/>
    </xf>
    <xf numFmtId="0" fontId="0" fillId="0" borderId="6" xfId="0" applyBorder="1"/>
    <xf numFmtId="0" fontId="0" fillId="0" borderId="7" xfId="0" applyFill="1" applyBorder="1"/>
    <xf numFmtId="0" fontId="0" fillId="0" borderId="8" xfId="0" applyFill="1" applyBorder="1"/>
    <xf numFmtId="0" fontId="0" fillId="0" borderId="6" xfId="0" applyFill="1" applyBorder="1" applyAlignment="1">
      <alignment wrapText="1" shrinkToFit="1"/>
    </xf>
    <xf numFmtId="0" fontId="0" fillId="0" borderId="6" xfId="0" applyBorder="1" applyAlignment="1">
      <alignment horizontal="center" vertical="center"/>
    </xf>
    <xf numFmtId="11" fontId="0" fillId="0" borderId="6" xfId="0" applyNumberFormat="1" applyBorder="1"/>
    <xf numFmtId="0" fontId="0" fillId="0" borderId="12" xfId="0" applyBorder="1"/>
    <xf numFmtId="11" fontId="0" fillId="0" borderId="0" xfId="0" applyNumberFormat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3" xfId="0" applyFill="1" applyBorder="1"/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Обычный" xfId="0" builtinId="0"/>
    <cellStyle name="Обычный 2" xfId="1" xr:uid="{FB8F9810-8FEE-4486-B457-C31AB9C61D0A}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38100</xdr:rowOff>
    </xdr:from>
    <xdr:to>
      <xdr:col>6</xdr:col>
      <xdr:colOff>533400</xdr:colOff>
      <xdr:row>4</xdr:row>
      <xdr:rowOff>161925</xdr:rowOff>
    </xdr:to>
    <xdr:sp macro="[0]!Transport.Transport" textlink="">
      <xdr:nvSpPr>
        <xdr:cNvPr id="616" name="Прямоугольник: скругленные углы 615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>
        <a:xfrm>
          <a:off x="3676650" y="228600"/>
          <a:ext cx="2209800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/>
            <a:t>Рассчитать</a:t>
          </a:r>
        </a:p>
      </xdr:txBody>
    </xdr:sp>
    <xdr:clientData/>
  </xdr:twoCellAnchor>
  <xdr:twoCellAnchor>
    <xdr:from>
      <xdr:col>7</xdr:col>
      <xdr:colOff>228600</xdr:colOff>
      <xdr:row>1</xdr:row>
      <xdr:rowOff>38100</xdr:rowOff>
    </xdr:from>
    <xdr:to>
      <xdr:col>11</xdr:col>
      <xdr:colOff>247650</xdr:colOff>
      <xdr:row>4</xdr:row>
      <xdr:rowOff>161925</xdr:rowOff>
    </xdr:to>
    <xdr:sp macro="[0]!ClearAll.ClearAll" textlink="">
      <xdr:nvSpPr>
        <xdr:cNvPr id="655" name="Прямоугольник: скругленные углы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SpPr/>
      </xdr:nvSpPr>
      <xdr:spPr>
        <a:xfrm>
          <a:off x="6191250" y="228600"/>
          <a:ext cx="2457450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/>
            <a:t>Очистить форму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2BCA2-00F2-481C-BA41-4E2C5F94A307}">
  <sheetPr codeName="Лист2"/>
  <dimension ref="A1:GS59"/>
  <sheetViews>
    <sheetView tabSelected="1" workbookViewId="0">
      <selection activeCell="E9" sqref="E9"/>
    </sheetView>
  </sheetViews>
  <sheetFormatPr defaultRowHeight="14.4" x14ac:dyDescent="0.3"/>
  <cols>
    <col min="1" max="1" width="32.6640625" bestFit="1" customWidth="1"/>
    <col min="2" max="2" width="11" customWidth="1"/>
    <col min="15" max="15" width="9.109375" customWidth="1"/>
  </cols>
  <sheetData>
    <row r="1" spans="1:18" x14ac:dyDescent="0.3">
      <c r="A1" s="1"/>
      <c r="B1" s="2"/>
      <c r="C1" s="3"/>
      <c r="D1" s="4"/>
      <c r="E1" s="4"/>
      <c r="F1" s="4"/>
      <c r="G1" s="4"/>
      <c r="H1" s="4"/>
      <c r="I1" s="4"/>
      <c r="J1" s="4"/>
    </row>
    <row r="2" spans="1:18" ht="15" thickBot="1" x14ac:dyDescent="0.35">
      <c r="A2" s="11" t="s">
        <v>2</v>
      </c>
      <c r="B2" s="11">
        <f>273+38</f>
        <v>311</v>
      </c>
      <c r="C2" s="5"/>
      <c r="D2" s="4"/>
      <c r="E2" s="4"/>
      <c r="F2" s="4"/>
      <c r="G2" s="4"/>
      <c r="H2" s="4"/>
      <c r="I2" s="4"/>
      <c r="J2" s="4"/>
    </row>
    <row r="3" spans="1:18" ht="15" thickBot="1" x14ac:dyDescent="0.35">
      <c r="A3" s="11" t="s">
        <v>15</v>
      </c>
      <c r="B3" s="11">
        <v>16500</v>
      </c>
      <c r="C3" s="5"/>
      <c r="D3" s="4"/>
      <c r="E3" s="4"/>
      <c r="F3" s="4"/>
      <c r="G3" s="4"/>
      <c r="H3" s="4"/>
      <c r="I3" s="4"/>
      <c r="J3" s="4"/>
      <c r="M3" s="26"/>
      <c r="N3" s="27"/>
      <c r="O3" s="27"/>
      <c r="P3" s="17"/>
    </row>
    <row r="4" spans="1:18" x14ac:dyDescent="0.3">
      <c r="A4" s="11" t="s">
        <v>3</v>
      </c>
      <c r="B4" s="11">
        <v>16250000</v>
      </c>
      <c r="C4" s="5"/>
      <c r="D4" s="4"/>
      <c r="E4" s="4"/>
      <c r="F4" s="4"/>
      <c r="G4" s="4"/>
      <c r="H4" s="4"/>
      <c r="I4" s="4"/>
      <c r="J4" s="4"/>
      <c r="P4" s="18"/>
    </row>
    <row r="5" spans="1:18" x14ac:dyDescent="0.3">
      <c r="A5" s="11"/>
      <c r="B5" s="11"/>
      <c r="C5" s="5"/>
      <c r="D5" s="4"/>
      <c r="E5" s="4"/>
      <c r="F5" s="4"/>
      <c r="G5" s="4"/>
      <c r="H5" s="4"/>
      <c r="I5" s="4"/>
      <c r="J5" s="4"/>
    </row>
    <row r="6" spans="1:18" x14ac:dyDescent="0.3">
      <c r="A6" s="4"/>
      <c r="B6" s="4"/>
      <c r="C6" s="5"/>
      <c r="D6" s="4"/>
      <c r="E6" s="4"/>
      <c r="F6" s="4"/>
      <c r="G6" s="4"/>
      <c r="H6" s="4"/>
      <c r="I6" s="4"/>
      <c r="J6" s="4"/>
    </row>
    <row r="7" spans="1:18" x14ac:dyDescent="0.3">
      <c r="A7" s="8" t="s">
        <v>11</v>
      </c>
      <c r="B7" s="11" t="s">
        <v>13</v>
      </c>
      <c r="C7" s="5"/>
      <c r="D7" s="4"/>
      <c r="E7" s="4"/>
      <c r="F7" s="4"/>
      <c r="G7" s="4"/>
      <c r="H7" s="4"/>
      <c r="I7" s="4"/>
      <c r="J7" s="4"/>
    </row>
    <row r="8" spans="1:18" x14ac:dyDescent="0.3">
      <c r="A8" s="8" t="s">
        <v>5</v>
      </c>
      <c r="B8" s="11">
        <v>0.8</v>
      </c>
      <c r="C8" s="5"/>
      <c r="D8" s="4"/>
      <c r="E8" s="4"/>
      <c r="F8" s="4"/>
      <c r="G8" s="4"/>
      <c r="H8" s="4"/>
      <c r="I8" s="4"/>
      <c r="J8" s="4"/>
    </row>
    <row r="9" spans="1:18" x14ac:dyDescent="0.3">
      <c r="A9" s="8" t="s">
        <v>7</v>
      </c>
      <c r="B9" s="11">
        <v>665</v>
      </c>
      <c r="C9" s="5"/>
      <c r="D9" s="4"/>
      <c r="E9" s="4"/>
      <c r="F9" s="4"/>
      <c r="G9" s="4"/>
      <c r="H9" s="4"/>
      <c r="I9" s="4"/>
      <c r="J9" s="4"/>
    </row>
    <row r="10" spans="1:18" x14ac:dyDescent="0.3">
      <c r="A10" s="8" t="s">
        <v>8</v>
      </c>
      <c r="B10" s="11">
        <v>1.1E-5</v>
      </c>
      <c r="C10" s="5"/>
      <c r="D10" s="4"/>
      <c r="E10" s="4"/>
      <c r="F10" s="4"/>
      <c r="G10" s="4"/>
      <c r="H10" s="4"/>
      <c r="I10" s="4"/>
      <c r="J10" s="4"/>
    </row>
    <row r="11" spans="1:18" x14ac:dyDescent="0.3">
      <c r="A11" s="9"/>
      <c r="B11" s="4"/>
      <c r="C11" s="5"/>
      <c r="D11" s="4"/>
      <c r="E11" s="4"/>
      <c r="F11" s="4"/>
      <c r="G11" s="4"/>
      <c r="H11" s="4"/>
      <c r="I11" s="4"/>
      <c r="J11" s="4"/>
    </row>
    <row r="12" spans="1:18" x14ac:dyDescent="0.3">
      <c r="A12" s="8" t="s">
        <v>12</v>
      </c>
      <c r="B12" s="11" t="s">
        <v>14</v>
      </c>
      <c r="C12" s="5"/>
      <c r="D12" s="4"/>
      <c r="E12" s="4"/>
      <c r="F12" s="4"/>
      <c r="G12" s="4"/>
      <c r="H12" s="4"/>
      <c r="I12" s="4"/>
      <c r="J12" s="4"/>
    </row>
    <row r="13" spans="1:18" x14ac:dyDescent="0.3">
      <c r="A13" s="8" t="s">
        <v>6</v>
      </c>
      <c r="B13" s="11">
        <v>0.2</v>
      </c>
      <c r="C13" s="5"/>
      <c r="D13" s="4"/>
      <c r="E13" s="4"/>
      <c r="F13" s="4"/>
      <c r="G13" s="4"/>
      <c r="H13" s="4"/>
      <c r="I13" s="4"/>
      <c r="J13" s="4"/>
    </row>
    <row r="14" spans="1:18" x14ac:dyDescent="0.3">
      <c r="A14" s="8" t="s">
        <v>9</v>
      </c>
      <c r="B14" s="11">
        <v>997</v>
      </c>
      <c r="C14" s="5"/>
      <c r="D14" s="4"/>
      <c r="E14" s="4"/>
      <c r="F14" s="4"/>
      <c r="G14" s="4"/>
      <c r="H14" s="4"/>
      <c r="I14" s="4"/>
      <c r="J14" s="4"/>
    </row>
    <row r="15" spans="1:18" ht="15" thickBot="1" x14ac:dyDescent="0.35">
      <c r="A15" s="8" t="s">
        <v>10</v>
      </c>
      <c r="B15" s="11">
        <v>8.8999999999999995E-4</v>
      </c>
      <c r="C15" s="6"/>
      <c r="D15" s="4"/>
      <c r="E15" s="4"/>
      <c r="F15" s="4"/>
      <c r="G15" s="4"/>
      <c r="H15" s="4"/>
      <c r="I15" s="4"/>
      <c r="J15" s="4"/>
    </row>
    <row r="16" spans="1:18" x14ac:dyDescent="0.3">
      <c r="A16" s="24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</row>
    <row r="17" spans="1:201" ht="15" thickBot="1" x14ac:dyDescent="0.35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</row>
    <row r="18" spans="1:20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1:201" ht="33.75" customHeight="1" x14ac:dyDescent="0.3">
      <c r="A19" s="12"/>
      <c r="B19" s="10"/>
      <c r="C19" s="9"/>
      <c r="D19" s="9"/>
      <c r="E19" s="9"/>
      <c r="F19" s="9"/>
    </row>
    <row r="20" spans="1:201" x14ac:dyDescent="0.3">
      <c r="A20" s="8" t="s">
        <v>1</v>
      </c>
      <c r="B20" s="11">
        <v>16500</v>
      </c>
      <c r="C20" s="11">
        <v>56000</v>
      </c>
      <c r="D20" s="11">
        <v>35000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</row>
    <row r="21" spans="1:201" x14ac:dyDescent="0.3">
      <c r="A21" s="8" t="s">
        <v>4</v>
      </c>
      <c r="B21" s="11">
        <v>1.5E-5</v>
      </c>
      <c r="C21" s="11">
        <v>1.5E-5</v>
      </c>
      <c r="D21" s="11">
        <v>1.5E-5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</row>
    <row r="22" spans="1:201" x14ac:dyDescent="0.3">
      <c r="A22" s="8" t="s">
        <v>0</v>
      </c>
      <c r="B22" s="11">
        <f>426-40</f>
        <v>386</v>
      </c>
      <c r="C22" s="11">
        <f>530-48</f>
        <v>482</v>
      </c>
      <c r="D22" s="11">
        <v>386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</row>
    <row r="23" spans="1:201" x14ac:dyDescent="0.3">
      <c r="A23" s="8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</row>
    <row r="24" spans="1:201" x14ac:dyDescent="0.3">
      <c r="A24" s="13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</row>
    <row r="25" spans="1:201" x14ac:dyDescent="0.3">
      <c r="A25" s="14"/>
      <c r="B25" s="11"/>
      <c r="C25" s="15"/>
      <c r="D25" s="11"/>
      <c r="E25" s="15"/>
      <c r="F25" s="11"/>
      <c r="G25" s="15"/>
      <c r="H25" s="11"/>
      <c r="I25" s="15"/>
      <c r="J25" s="11"/>
      <c r="K25" s="15"/>
      <c r="L25" s="11"/>
      <c r="M25" s="15"/>
      <c r="N25" s="11"/>
      <c r="O25" s="15"/>
      <c r="P25" s="11"/>
      <c r="Q25" s="15"/>
      <c r="R25" s="11"/>
      <c r="S25" s="15"/>
      <c r="T25" s="11"/>
      <c r="U25" s="21"/>
      <c r="V25" s="11"/>
      <c r="W25" s="19"/>
      <c r="X25" s="11"/>
      <c r="Y25" s="19"/>
      <c r="Z25" s="11"/>
      <c r="AA25" s="19"/>
      <c r="AB25" s="11"/>
      <c r="AC25" s="19"/>
      <c r="AD25" s="11"/>
      <c r="AE25" s="19"/>
      <c r="AF25" s="11"/>
      <c r="AG25" s="19"/>
      <c r="AH25" s="11"/>
      <c r="AI25" s="19"/>
      <c r="AJ25" s="11"/>
      <c r="AK25" s="19"/>
      <c r="AL25" s="11"/>
      <c r="AM25" s="19"/>
      <c r="AN25" s="11"/>
      <c r="AO25" s="19"/>
      <c r="AP25" s="11"/>
      <c r="AQ25" s="19"/>
      <c r="AR25" s="11"/>
      <c r="AS25" s="19"/>
      <c r="AT25" s="11"/>
      <c r="AU25" s="19"/>
      <c r="AV25" s="11"/>
      <c r="AW25" s="19"/>
      <c r="AX25" s="11"/>
      <c r="AY25" s="19"/>
      <c r="AZ25" s="11"/>
      <c r="BA25" s="19"/>
      <c r="BB25" s="11"/>
      <c r="BC25" s="19"/>
      <c r="BD25" s="11"/>
      <c r="BE25" s="19"/>
      <c r="BF25" s="11"/>
      <c r="BG25" s="19"/>
      <c r="BH25" s="11"/>
      <c r="BI25" s="19"/>
      <c r="BJ25" s="11"/>
      <c r="BK25" s="19"/>
      <c r="BL25" s="11"/>
      <c r="BM25" s="19"/>
      <c r="BN25" s="11"/>
      <c r="BO25" s="19"/>
      <c r="BP25" s="11"/>
      <c r="BQ25" s="19"/>
      <c r="BR25" s="11"/>
      <c r="BS25" s="19"/>
      <c r="BT25" s="11"/>
      <c r="BU25" s="19"/>
      <c r="BV25" s="11"/>
      <c r="BW25" s="19"/>
      <c r="BX25" s="11"/>
      <c r="BY25" s="19"/>
      <c r="BZ25" s="11"/>
      <c r="CA25" s="19"/>
      <c r="CB25" s="11"/>
      <c r="CC25" s="19"/>
      <c r="CD25" s="11"/>
      <c r="CE25" s="19"/>
      <c r="CF25" s="11"/>
      <c r="CG25" s="20"/>
      <c r="CI25" s="20"/>
      <c r="CK25" s="20"/>
      <c r="CM25" s="20"/>
      <c r="CO25" s="20"/>
      <c r="CQ25" s="20"/>
      <c r="CS25" s="20"/>
      <c r="CU25" s="20"/>
      <c r="CW25" s="20"/>
      <c r="CY25" s="20"/>
      <c r="DA25" s="20"/>
      <c r="DC25" s="20"/>
      <c r="DE25" s="20"/>
      <c r="DG25" s="20"/>
      <c r="DI25" s="20"/>
      <c r="DK25" s="20"/>
      <c r="DM25" s="20"/>
      <c r="DO25" s="20"/>
      <c r="DQ25" s="20"/>
      <c r="DS25" s="20"/>
      <c r="DU25" s="20"/>
      <c r="DW25" s="20"/>
      <c r="DY25" s="20"/>
      <c r="EA25" s="20"/>
      <c r="EC25" s="20"/>
      <c r="EE25" s="20"/>
      <c r="EG25" s="20"/>
      <c r="EI25" s="20"/>
      <c r="EK25" s="20"/>
      <c r="EM25" s="20"/>
      <c r="EO25" s="20"/>
      <c r="EQ25" s="20"/>
      <c r="ES25" s="20"/>
      <c r="EU25" s="20"/>
      <c r="EW25" s="20"/>
      <c r="EY25" s="20"/>
      <c r="FA25" s="20"/>
      <c r="FC25" s="20"/>
      <c r="FE25" s="20"/>
      <c r="FG25" s="20"/>
      <c r="FI25" s="20"/>
      <c r="FK25" s="20"/>
      <c r="FM25" s="20"/>
      <c r="FO25" s="20"/>
      <c r="FQ25" s="20"/>
      <c r="FS25" s="20"/>
      <c r="FU25" s="20"/>
      <c r="FW25" s="20"/>
      <c r="FY25" s="20"/>
      <c r="GA25" s="20"/>
      <c r="GC25" s="20"/>
      <c r="GE25" s="20"/>
      <c r="GG25" s="20"/>
      <c r="GI25" s="20"/>
      <c r="GK25" s="20"/>
      <c r="GM25" s="20"/>
      <c r="GO25" s="20"/>
      <c r="GQ25" s="20"/>
      <c r="GS25" s="20"/>
    </row>
    <row r="26" spans="1:201" x14ac:dyDescent="0.3">
      <c r="A26" s="8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</row>
    <row r="27" spans="1:201" x14ac:dyDescent="0.3">
      <c r="A27" s="8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</row>
    <row r="28" spans="1:201" x14ac:dyDescent="0.3">
      <c r="A28" s="8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</row>
    <row r="29" spans="1:201" x14ac:dyDescent="0.3">
      <c r="A29" s="8"/>
      <c r="B29" s="16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</row>
    <row r="30" spans="1:201" x14ac:dyDescent="0.3">
      <c r="A30" s="8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</row>
    <row r="31" spans="1:201" x14ac:dyDescent="0.3">
      <c r="A31" s="8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</row>
    <row r="32" spans="1:201" x14ac:dyDescent="0.3">
      <c r="A32" s="8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</row>
    <row r="33" spans="1:84" x14ac:dyDescent="0.3">
      <c r="A33" s="8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</row>
    <row r="34" spans="1:84" x14ac:dyDescent="0.3">
      <c r="A34" s="9"/>
      <c r="G34" s="18"/>
    </row>
    <row r="35" spans="1:84" x14ac:dyDescent="0.3">
      <c r="A35" s="9"/>
      <c r="G35" s="18"/>
    </row>
    <row r="36" spans="1:84" x14ac:dyDescent="0.3">
      <c r="A36" s="9"/>
    </row>
    <row r="37" spans="1:84" x14ac:dyDescent="0.3">
      <c r="A37" s="7"/>
    </row>
    <row r="38" spans="1:84" x14ac:dyDescent="0.3">
      <c r="A38" s="7"/>
    </row>
    <row r="39" spans="1:84" x14ac:dyDescent="0.3">
      <c r="A39" s="7"/>
    </row>
    <row r="40" spans="1:84" x14ac:dyDescent="0.3">
      <c r="A40" s="7"/>
    </row>
    <row r="41" spans="1:84" x14ac:dyDescent="0.3">
      <c r="A41" s="7"/>
    </row>
    <row r="42" spans="1:84" x14ac:dyDescent="0.3">
      <c r="A42" s="7"/>
    </row>
    <row r="43" spans="1:84" x14ac:dyDescent="0.3">
      <c r="A43" s="7"/>
    </row>
    <row r="44" spans="1:84" x14ac:dyDescent="0.3">
      <c r="A44" s="7"/>
    </row>
    <row r="45" spans="1:84" x14ac:dyDescent="0.3">
      <c r="A45" s="7"/>
    </row>
    <row r="46" spans="1:84" x14ac:dyDescent="0.3">
      <c r="A46" s="7"/>
    </row>
    <row r="47" spans="1:84" x14ac:dyDescent="0.3">
      <c r="A47" s="7"/>
    </row>
    <row r="48" spans="1:84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</sheetData>
  <mergeCells count="2">
    <mergeCell ref="A18:R18"/>
    <mergeCell ref="M3:O3"/>
  </mergeCells>
  <phoneticPr fontId="2" type="noConversion"/>
  <dataValidations count="1">
    <dataValidation type="list" allowBlank="1" showInputMessage="1" showErrorMessage="1" sqref="A17" xr:uid="{BBE75F40-B3B9-425A-9347-B824AB60EE05}">
      <formula1>Material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2. Solve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krukp</dc:creator>
  <cp:lastModifiedBy>а</cp:lastModifiedBy>
  <dcterms:created xsi:type="dcterms:W3CDTF">2015-06-05T18:17:20Z</dcterms:created>
  <dcterms:modified xsi:type="dcterms:W3CDTF">2023-10-18T16:23:05Z</dcterms:modified>
</cp:coreProperties>
</file>